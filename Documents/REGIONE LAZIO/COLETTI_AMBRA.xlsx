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ETTI AM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0" customWidth="1" min="11" max="11"/>
    <col width="14" customWidth="1" min="12" max="12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 xml:space="preserve">Luogo lavoro </t>
        </is>
      </c>
      <c r="D1" s="1" t="inlineStr">
        <is>
          <t xml:space="preserve"> </t>
        </is>
      </c>
    </row>
    <row r="2">
      <c r="A2" t="inlineStr">
        <is>
          <t>AMBRA</t>
        </is>
      </c>
      <c r="B2" t="inlineStr">
        <is>
          <t>COLETTI</t>
        </is>
      </c>
      <c r="C2" t="inlineStr">
        <is>
          <t>REGIONE LAZIO</t>
        </is>
      </c>
    </row>
    <row r="3">
      <c r="C3" t="inlineStr">
        <is>
          <t>Ferie fruite annue</t>
        </is>
      </c>
      <c r="D3" t="n">
        <v>28</v>
      </c>
    </row>
    <row r="4">
      <c r="C4" t="inlineStr">
        <is>
          <t>Giorni lavorati</t>
        </is>
      </c>
      <c r="D4">
        <f>(365-D3)</f>
        <v/>
      </c>
    </row>
    <row r="6">
      <c r="A6" s="1" t="n">
        <v>2019</v>
      </c>
      <c r="B6" s="2" t="inlineStr">
        <is>
          <t>Ind. Di turno diurno</t>
        </is>
      </c>
      <c r="C6" s="2" t="inlineStr">
        <is>
          <t>Ind rep turno</t>
        </is>
      </c>
      <c r="D6" s="2" t="inlineStr">
        <is>
          <t>IND turno fest/nott</t>
        </is>
      </c>
      <c r="E6" s="2" t="inlineStr">
        <is>
          <t>IND Turno nott o Fest.</t>
        </is>
      </c>
      <c r="F6" s="2" t="inlineStr">
        <is>
          <t>ind di rischio HH</t>
        </is>
      </c>
      <c r="G6" s="2" t="inlineStr">
        <is>
          <t>Ind pronta disponibilità</t>
        </is>
      </c>
      <c r="H6" s="2" t="inlineStr">
        <is>
          <t>IND servizio esterno</t>
        </is>
      </c>
      <c r="I6" s="2" t="inlineStr">
        <is>
          <t>Sommatoria precedenti</t>
        </is>
      </c>
      <c r="K6" s="1" t="inlineStr">
        <is>
          <t>Anno</t>
        </is>
      </c>
      <c r="L6" s="1" t="inlineStr">
        <is>
          <t>Importo</t>
        </is>
      </c>
    </row>
    <row r="7">
      <c r="A7" t="inlineStr">
        <is>
          <t>Gennaio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>
        <f>SUM(B7:C7:D7:E7:G7:H7)</f>
        <v/>
      </c>
      <c r="K7" t="n">
        <v>2019</v>
      </c>
      <c r="L7">
        <f>I20</f>
        <v/>
      </c>
    </row>
    <row r="8">
      <c r="A8" t="inlineStr">
        <is>
          <t>Febbraio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>
        <f>SUM(B8:C8:D8:E8:G8:H8)</f>
        <v/>
      </c>
      <c r="K8" t="n">
        <v>2020</v>
      </c>
      <c r="L8">
        <f>I36</f>
        <v/>
      </c>
    </row>
    <row r="9">
      <c r="A9" t="inlineStr">
        <is>
          <t>Marzo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>
        <f>SUM(B9:C9:D9:E9:G9:H9)</f>
        <v/>
      </c>
      <c r="K9" t="n">
        <v>2021</v>
      </c>
      <c r="L9">
        <f>I52</f>
        <v/>
      </c>
    </row>
    <row r="10">
      <c r="A10" t="inlineStr">
        <is>
          <t>Aprile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>
        <f>SUM(B10:C10:D10:E10:G10:H10)</f>
        <v/>
      </c>
      <c r="K10" t="n">
        <v>2022</v>
      </c>
      <c r="L10">
        <f>I68</f>
        <v/>
      </c>
    </row>
    <row r="11">
      <c r="A11" t="inlineStr">
        <is>
          <t>Maggio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>
        <f>SUM(B11:C11:D11:E11:G11:H11)</f>
        <v/>
      </c>
      <c r="K11" t="n">
        <v>2023</v>
      </c>
      <c r="L11">
        <f>I84</f>
        <v/>
      </c>
    </row>
    <row r="12">
      <c r="A12" t="inlineStr">
        <is>
          <t>Giugno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>
        <f>SUM(B12:C12:D12:E12:G12:H12)</f>
        <v/>
      </c>
      <c r="K12" t="n">
        <v>2024</v>
      </c>
      <c r="L12">
        <f>I100</f>
        <v/>
      </c>
    </row>
    <row r="13">
      <c r="A13" t="inlineStr">
        <is>
          <t>Luglio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>
        <f>SUM(B13:C13:D13:E13:G13:H13)</f>
        <v/>
      </c>
      <c r="K13" t="n">
        <v>2025</v>
      </c>
      <c r="L13">
        <f>I116</f>
        <v/>
      </c>
    </row>
    <row r="14">
      <c r="A14" t="inlineStr">
        <is>
          <t>Agosto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>
        <f>SUM(B14:C14:D14:E14:G14:H14)</f>
        <v/>
      </c>
      <c r="K14" t="n">
        <v>2026</v>
      </c>
      <c r="L14">
        <f>I132</f>
        <v/>
      </c>
    </row>
    <row r="15">
      <c r="A15" t="inlineStr">
        <is>
          <t>Settembre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>
        <f>SUM(B15:C15:D15:E15:G15:H15)</f>
        <v/>
      </c>
      <c r="K15" s="1" t="inlineStr">
        <is>
          <t>Totale:</t>
        </is>
      </c>
      <c r="L15" s="1">
        <f>SUBTOTAL(109,L7:L14)</f>
        <v/>
      </c>
    </row>
    <row r="16">
      <c r="A16" t="inlineStr">
        <is>
          <t>Ottobre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>
        <f>SUM(B16:C16:D16:E16:G16:H16)</f>
        <v/>
      </c>
    </row>
    <row r="17">
      <c r="A17" t="inlineStr">
        <is>
          <t>Novembre</t>
        </is>
      </c>
      <c r="B17" t="n">
        <v>95.81999999999999</v>
      </c>
      <c r="C17" t="n">
        <v>0</v>
      </c>
      <c r="D17" t="n">
        <v>35.34</v>
      </c>
      <c r="E17" t="n">
        <v>148.75</v>
      </c>
      <c r="F17" t="n">
        <v>0</v>
      </c>
      <c r="G17" t="n">
        <v>0</v>
      </c>
      <c r="H17" t="n">
        <v>0</v>
      </c>
      <c r="I17">
        <f>SUM(B17:C17:D17:E17:G17:H17)</f>
        <v/>
      </c>
    </row>
    <row r="18">
      <c r="A18" t="inlineStr">
        <is>
          <t>Dicembre</t>
        </is>
      </c>
      <c r="B18" t="n">
        <v>108.17</v>
      </c>
      <c r="C18" t="n">
        <v>0</v>
      </c>
      <c r="D18" t="n">
        <v>0</v>
      </c>
      <c r="E18" t="n">
        <v>225.92</v>
      </c>
      <c r="F18" t="n">
        <v>0</v>
      </c>
      <c r="G18" t="n">
        <v>0</v>
      </c>
      <c r="H18" t="n">
        <v>0</v>
      </c>
      <c r="I18">
        <f>SUM(B18:C18:D18:E18:G18:H18)</f>
        <v/>
      </c>
    </row>
    <row r="19">
      <c r="A19" s="1" t="inlineStr">
        <is>
          <t>Somme annuali</t>
        </is>
      </c>
      <c r="B19" s="1">
        <f>SUM(B7,B8,B9,B10,B11,B12,B13,B14,B15,B16,B17,B18)</f>
        <v/>
      </c>
      <c r="C19" s="1">
        <f>SUM(C7,C8,C9,C10,C11,C12,C13,C14,C15,C16,C17,C18)</f>
        <v/>
      </c>
      <c r="D19" s="1">
        <f>SUM(D7,D8,D9,D10,D11,D12,D13,D14,D15,D16,D17,D18)</f>
        <v/>
      </c>
      <c r="E19" s="1">
        <f>SUM(E7,E8,E9,E10,E11,E12,E13,E14,E15,E16,E17,E18)</f>
        <v/>
      </c>
      <c r="F19" s="1">
        <f>SUM(F7,F8,F9,F10,F11,F12,F13,F14,F15,F16,F17,F18)</f>
        <v/>
      </c>
      <c r="G19" s="1">
        <f>SUM(G7,G8,G9,G10,G11,G12,G13,G14,G15,G16,G17,G18)</f>
        <v/>
      </c>
      <c r="H19" s="1">
        <f>SUM(H7,H8,H9,H10,H11,H12,H13,H14,H15,H16,H17,H18)</f>
        <v/>
      </c>
      <c r="I19" s="1">
        <f>SUM(I7,I8,I9,I10,I11,I12,I13,I14,I15,I16,I17,I18)</f>
        <v/>
      </c>
    </row>
    <row r="20">
      <c r="A20" s="1" t="inlineStr">
        <is>
          <t>Medie annue</t>
        </is>
      </c>
      <c r="B20" s="1">
        <f>(B19/337*28)</f>
        <v/>
      </c>
      <c r="C20" s="1">
        <f>(C19/337*28)</f>
        <v/>
      </c>
      <c r="D20" s="1">
        <f>(D19/337*28)</f>
        <v/>
      </c>
      <c r="E20" s="1">
        <f>(E19/337*28)</f>
        <v/>
      </c>
      <c r="F20" s="1">
        <f>(F19/337*28)</f>
        <v/>
      </c>
      <c r="G20" s="1">
        <f>(G19/337*28)</f>
        <v/>
      </c>
      <c r="H20" s="1">
        <f>(H19/337*28)</f>
        <v/>
      </c>
      <c r="I20" s="1">
        <f>(I19/337*28)</f>
        <v/>
      </c>
    </row>
    <row r="22">
      <c r="A22" s="1" t="n">
        <v>2020</v>
      </c>
      <c r="B22" s="2" t="inlineStr">
        <is>
          <t>Ind. Di turno diurno</t>
        </is>
      </c>
      <c r="C22" s="2" t="inlineStr">
        <is>
          <t>Ind rep turno</t>
        </is>
      </c>
      <c r="D22" s="2" t="inlineStr">
        <is>
          <t>IND turno fest/nott</t>
        </is>
      </c>
      <c r="E22" s="2" t="inlineStr">
        <is>
          <t>IND Turno nott o Fest.</t>
        </is>
      </c>
      <c r="F22" s="2" t="inlineStr">
        <is>
          <t>ind di rischio HH</t>
        </is>
      </c>
      <c r="G22" s="2" t="inlineStr">
        <is>
          <t>Ind pronta disponibilità</t>
        </is>
      </c>
      <c r="H22" s="2" t="inlineStr">
        <is>
          <t>IND servizio esterno</t>
        </is>
      </c>
      <c r="I22" s="2" t="inlineStr">
        <is>
          <t>Sommatoria precedenti</t>
        </is>
      </c>
    </row>
    <row r="23">
      <c r="A23" t="inlineStr">
        <is>
          <t>Gennaio</t>
        </is>
      </c>
      <c r="B23" t="n">
        <v>128.62</v>
      </c>
      <c r="C23" t="n">
        <v>0</v>
      </c>
      <c r="D23" t="n">
        <v>47.12</v>
      </c>
      <c r="E23" t="n">
        <v>136.51</v>
      </c>
      <c r="F23" t="n">
        <v>0</v>
      </c>
      <c r="G23" t="n">
        <v>0</v>
      </c>
      <c r="H23" t="n">
        <v>0</v>
      </c>
      <c r="I23">
        <f>SUM(B23:C23:D23:E23:G23:H23)</f>
        <v/>
      </c>
    </row>
    <row r="24">
      <c r="A24" t="inlineStr">
        <is>
          <t>Febbraio</t>
        </is>
      </c>
      <c r="B24" t="n">
        <v>113.09</v>
      </c>
      <c r="C24" t="n">
        <v>0</v>
      </c>
      <c r="D24" t="n">
        <v>47.12</v>
      </c>
      <c r="E24" t="n">
        <v>155.92</v>
      </c>
      <c r="F24" t="n">
        <v>0</v>
      </c>
      <c r="G24" t="n">
        <v>0</v>
      </c>
      <c r="H24" t="n">
        <v>0</v>
      </c>
      <c r="I24">
        <f>SUM(B24:C24:D24:E24:G24:H24)</f>
        <v/>
      </c>
    </row>
    <row r="25">
      <c r="A25" t="inlineStr">
        <is>
          <t>Marzo</t>
        </is>
      </c>
      <c r="B25" t="n">
        <v>111.12</v>
      </c>
      <c r="C25" t="n">
        <v>0</v>
      </c>
      <c r="D25" t="n">
        <v>47.12</v>
      </c>
      <c r="E25" t="n">
        <v>114.16</v>
      </c>
      <c r="F25" t="n">
        <v>80</v>
      </c>
      <c r="G25" t="n">
        <v>0</v>
      </c>
      <c r="H25" t="n">
        <v>0</v>
      </c>
      <c r="I25">
        <f>SUM(B25:C25:D25:E25:G25:H25)</f>
        <v/>
      </c>
    </row>
    <row r="26">
      <c r="A26" t="inlineStr">
        <is>
          <t>Aprile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>
        <f>SUM(B26:C26:D26:E26:G26:H26)</f>
        <v/>
      </c>
    </row>
    <row r="27">
      <c r="A27" t="inlineStr">
        <is>
          <t>Maggio</t>
        </is>
      </c>
      <c r="B27" t="n">
        <v>46.81</v>
      </c>
      <c r="C27" t="n">
        <v>0</v>
      </c>
      <c r="D27" t="n">
        <v>35.34</v>
      </c>
      <c r="E27" t="n">
        <v>37.07</v>
      </c>
      <c r="F27" t="n">
        <v>35</v>
      </c>
      <c r="G27" t="n">
        <v>0</v>
      </c>
      <c r="H27" t="n">
        <v>0</v>
      </c>
      <c r="I27">
        <f>SUM(B27:C27:D27:E27:G27:H27)</f>
        <v/>
      </c>
    </row>
    <row r="28">
      <c r="A28" t="inlineStr">
        <is>
          <t>Giugno</t>
        </is>
      </c>
      <c r="B28" t="n">
        <v>79.45999999999999</v>
      </c>
      <c r="C28" t="n">
        <v>0</v>
      </c>
      <c r="D28" t="n">
        <v>47.12</v>
      </c>
      <c r="E28" t="n">
        <v>117.69</v>
      </c>
      <c r="F28" t="n">
        <v>65</v>
      </c>
      <c r="G28" t="n">
        <v>0</v>
      </c>
      <c r="H28" t="n">
        <v>0</v>
      </c>
      <c r="I28">
        <f>SUM(B28:C28:D28:E28:G28:H28)</f>
        <v/>
      </c>
    </row>
    <row r="29">
      <c r="A29" t="inlineStr">
        <is>
          <t>Luglio</t>
        </is>
      </c>
      <c r="B29" t="n">
        <v>113.28</v>
      </c>
      <c r="C29" t="n">
        <v>0</v>
      </c>
      <c r="D29" t="n">
        <v>11.78</v>
      </c>
      <c r="E29" t="n">
        <v>91.22</v>
      </c>
      <c r="F29" t="n">
        <v>70</v>
      </c>
      <c r="G29" t="n">
        <v>0</v>
      </c>
      <c r="H29" t="n">
        <v>0</v>
      </c>
      <c r="I29">
        <f>SUM(B29:C29:D29:E29:G29:H29)</f>
        <v/>
      </c>
    </row>
    <row r="30">
      <c r="A30" t="inlineStr">
        <is>
          <t>Agosto</t>
        </is>
      </c>
      <c r="B30" t="n">
        <v>77.09999999999999</v>
      </c>
      <c r="C30" t="n">
        <v>0</v>
      </c>
      <c r="D30" t="n">
        <v>0</v>
      </c>
      <c r="E30" t="n">
        <v>199.45</v>
      </c>
      <c r="F30" t="n">
        <v>75</v>
      </c>
      <c r="G30" t="n">
        <v>0</v>
      </c>
      <c r="H30" t="n">
        <v>0</v>
      </c>
      <c r="I30">
        <f>SUM(B30:C30:D30:E30:G30:H30)</f>
        <v/>
      </c>
    </row>
    <row r="31">
      <c r="A31" t="inlineStr">
        <is>
          <t>Settembre</t>
        </is>
      </c>
      <c r="B31" t="n">
        <v>111.32</v>
      </c>
      <c r="C31" t="n">
        <v>0</v>
      </c>
      <c r="D31" t="n">
        <v>35.34</v>
      </c>
      <c r="E31" t="n">
        <v>135.91</v>
      </c>
      <c r="F31" t="n">
        <v>85</v>
      </c>
      <c r="G31" t="n">
        <v>0</v>
      </c>
      <c r="H31" t="n">
        <v>0</v>
      </c>
      <c r="I31">
        <f>SUM(B31:C31:D31:E31:G31:H31)</f>
        <v/>
      </c>
    </row>
    <row r="32">
      <c r="A32" t="inlineStr">
        <is>
          <t>Ottobre</t>
        </is>
      </c>
      <c r="B32" t="n">
        <v>77.09999999999999</v>
      </c>
      <c r="C32" t="n">
        <v>0</v>
      </c>
      <c r="D32" t="n">
        <v>47.12</v>
      </c>
      <c r="E32" t="n">
        <v>170.64</v>
      </c>
      <c r="F32" t="n">
        <v>75</v>
      </c>
      <c r="G32" t="n">
        <v>0</v>
      </c>
      <c r="H32" t="n">
        <v>0</v>
      </c>
      <c r="I32">
        <f>SUM(B32:C32:D32:E32:G32:H32)</f>
        <v/>
      </c>
    </row>
    <row r="33">
      <c r="A33" t="inlineStr">
        <is>
          <t>Novembre</t>
        </is>
      </c>
      <c r="B33" t="n">
        <v>65.09999999999999</v>
      </c>
      <c r="C33" t="n">
        <v>0</v>
      </c>
      <c r="D33" t="n">
        <v>47.12</v>
      </c>
      <c r="E33" t="n">
        <v>128.28</v>
      </c>
      <c r="F33" t="n">
        <v>60</v>
      </c>
      <c r="G33" t="n">
        <v>0</v>
      </c>
      <c r="H33" t="n">
        <v>0</v>
      </c>
      <c r="I33">
        <f>SUM(B33:C33:D33:E33:G33:H33)</f>
        <v/>
      </c>
    </row>
    <row r="34">
      <c r="A34" t="inlineStr">
        <is>
          <t>Dicembre</t>
        </is>
      </c>
      <c r="B34" t="n">
        <v>92.93000000000001</v>
      </c>
      <c r="C34" t="n">
        <v>0</v>
      </c>
      <c r="D34" t="n">
        <v>47.12</v>
      </c>
      <c r="E34" t="n">
        <v>91.22</v>
      </c>
      <c r="F34" t="n">
        <v>70</v>
      </c>
      <c r="G34" t="n">
        <v>0</v>
      </c>
      <c r="H34" t="n">
        <v>0</v>
      </c>
      <c r="I34">
        <f>SUM(B34:C34:D34:E34:G34:H34)</f>
        <v/>
      </c>
    </row>
    <row r="35">
      <c r="A35" s="1" t="inlineStr">
        <is>
          <t>Somme annuali</t>
        </is>
      </c>
      <c r="B35" s="1">
        <f>SUM(B23,B24,B25,B26,B27,B28,B29,B30,B31,B32,B33,B34)</f>
        <v/>
      </c>
      <c r="C35" s="1">
        <f>SUM(C23,C24,C25,C26,C27,C28,C29,C30,C31,C32,C33,C34)</f>
        <v/>
      </c>
      <c r="D35" s="1">
        <f>SUM(D23,D24,D25,D26,D27,D28,D29,D30,D31,D32,D33,D34)</f>
        <v/>
      </c>
      <c r="E35" s="1">
        <f>SUM(E23,E24,E25,E26,E27,E28,E29,E30,E31,E32,E33,E34)</f>
        <v/>
      </c>
      <c r="F35" s="1">
        <f>SUM(F23,F24,F25,F26,F27,F28,F29,F30,F31,F32,F33,F34)</f>
        <v/>
      </c>
      <c r="G35" s="1">
        <f>SUM(G23,G24,G25,G26,G27,G28,G29,G30,G31,G32,G33,G34)</f>
        <v/>
      </c>
      <c r="H35" s="1">
        <f>SUM(H23,H24,H25,H26,H27,H28,H29,H30,H31,H32,H33,H34)</f>
        <v/>
      </c>
      <c r="I35" s="1">
        <f>SUM(I23,I24,I25,I26,I27,I28,I29,I30,I31,I32,I33,I34)</f>
        <v/>
      </c>
    </row>
    <row r="36">
      <c r="A36" s="1" t="inlineStr">
        <is>
          <t>Medie annue</t>
        </is>
      </c>
      <c r="B36" s="1">
        <f>(B35/337*28)</f>
        <v/>
      </c>
      <c r="C36" s="1">
        <f>(C35/337*28)</f>
        <v/>
      </c>
      <c r="D36" s="1">
        <f>(D35/337*28)</f>
        <v/>
      </c>
      <c r="E36" s="1">
        <f>(E35/337*28)</f>
        <v/>
      </c>
      <c r="F36" s="1">
        <f>(F35/337*28)</f>
        <v/>
      </c>
      <c r="G36" s="1">
        <f>(G35/337*28)</f>
        <v/>
      </c>
      <c r="H36" s="1">
        <f>(H35/337*28)</f>
        <v/>
      </c>
      <c r="I36" s="1">
        <f>(I35/337*28)</f>
        <v/>
      </c>
    </row>
    <row r="38">
      <c r="A38" s="1" t="n">
        <v>2021</v>
      </c>
      <c r="B38" s="2" t="inlineStr">
        <is>
          <t>Ind. Di turno diurno</t>
        </is>
      </c>
      <c r="C38" s="2" t="inlineStr">
        <is>
          <t>Ind rep turno</t>
        </is>
      </c>
      <c r="D38" s="2" t="inlineStr">
        <is>
          <t>IND turno fest/nott</t>
        </is>
      </c>
      <c r="E38" s="2" t="inlineStr">
        <is>
          <t>IND Turno nott o Fest.</t>
        </is>
      </c>
      <c r="F38" s="2" t="inlineStr">
        <is>
          <t>ind di rischio HH</t>
        </is>
      </c>
      <c r="G38" s="2" t="inlineStr">
        <is>
          <t>Ind pronta disponibilità</t>
        </is>
      </c>
      <c r="H38" s="2" t="inlineStr">
        <is>
          <t>IND servizio esterno</t>
        </is>
      </c>
      <c r="I38" s="2" t="inlineStr">
        <is>
          <t>Sommatoria precedenti</t>
        </is>
      </c>
    </row>
    <row r="39">
      <c r="A39" t="inlineStr">
        <is>
          <t>Gennaio</t>
        </is>
      </c>
      <c r="B39" t="n">
        <v>77.29000000000001</v>
      </c>
      <c r="C39" t="n">
        <v>0</v>
      </c>
      <c r="D39" t="n">
        <v>35.34</v>
      </c>
      <c r="E39" t="n">
        <v>91.78</v>
      </c>
      <c r="F39" t="n">
        <v>0</v>
      </c>
      <c r="G39" t="n">
        <v>0</v>
      </c>
      <c r="H39" t="n">
        <v>0</v>
      </c>
      <c r="I39">
        <f>SUM(B39:C39:D39:E39:G39:H39)</f>
        <v/>
      </c>
    </row>
    <row r="40">
      <c r="A40" t="inlineStr">
        <is>
          <t>Febbraio</t>
        </is>
      </c>
      <c r="B40" t="n">
        <v>103.65</v>
      </c>
      <c r="C40" t="n">
        <v>0</v>
      </c>
      <c r="D40" t="n">
        <v>0</v>
      </c>
      <c r="E40" t="n">
        <v>153.56</v>
      </c>
      <c r="F40" t="n">
        <v>0</v>
      </c>
      <c r="G40" t="n">
        <v>0</v>
      </c>
      <c r="H40" t="n">
        <v>0</v>
      </c>
      <c r="I40">
        <f>SUM(B40:C40:D40:E40:G40:H40)</f>
        <v/>
      </c>
    </row>
    <row r="41">
      <c r="A41" t="inlineStr">
        <is>
          <t>Marzo</t>
        </is>
      </c>
      <c r="B41" t="n">
        <v>113.87</v>
      </c>
      <c r="C41" t="n">
        <v>0</v>
      </c>
      <c r="D41" t="n">
        <v>58.9</v>
      </c>
      <c r="E41" t="n">
        <v>114.16</v>
      </c>
      <c r="F41" t="n">
        <v>80</v>
      </c>
      <c r="G41" t="n">
        <v>0</v>
      </c>
      <c r="H41" t="n">
        <v>0</v>
      </c>
      <c r="I41">
        <f>SUM(B41:C41:D41:E41:G41:H41)</f>
        <v/>
      </c>
    </row>
    <row r="42">
      <c r="A42" t="inlineStr">
        <is>
          <t>Aprile</t>
        </is>
      </c>
      <c r="B42" t="n">
        <v>87.31999999999999</v>
      </c>
      <c r="C42" t="n">
        <v>0</v>
      </c>
      <c r="D42" t="n">
        <v>58.9</v>
      </c>
      <c r="E42" t="n">
        <v>140.64</v>
      </c>
      <c r="F42" t="n">
        <v>75</v>
      </c>
      <c r="G42" t="n">
        <v>0</v>
      </c>
      <c r="H42" t="n">
        <v>0</v>
      </c>
      <c r="I42">
        <f>SUM(B42:C42:D42:E42:G42:H42)</f>
        <v/>
      </c>
    </row>
    <row r="43">
      <c r="A43" t="inlineStr">
        <is>
          <t>Maggio</t>
        </is>
      </c>
      <c r="B43" t="n">
        <v>84.26000000000001</v>
      </c>
      <c r="C43" t="n">
        <v>0</v>
      </c>
      <c r="D43" t="n">
        <v>47.12</v>
      </c>
      <c r="E43" t="n">
        <v>142.4</v>
      </c>
      <c r="F43" t="n">
        <v>75</v>
      </c>
      <c r="G43" t="n">
        <v>0</v>
      </c>
      <c r="H43" t="n">
        <v>0</v>
      </c>
      <c r="I43">
        <f>SUM(B43:C43:D43:E43:G43:H43)</f>
        <v/>
      </c>
    </row>
    <row r="44">
      <c r="A44" t="inlineStr">
        <is>
          <t>Giugno</t>
        </is>
      </c>
      <c r="B44" t="n">
        <v>106.96</v>
      </c>
      <c r="C44" t="n">
        <v>0</v>
      </c>
      <c r="D44" t="n">
        <v>47.12</v>
      </c>
      <c r="E44" t="n">
        <v>148.26</v>
      </c>
      <c r="F44" t="n">
        <v>85</v>
      </c>
      <c r="G44" t="n">
        <v>0</v>
      </c>
      <c r="H44" t="n">
        <v>0</v>
      </c>
      <c r="I44">
        <f>SUM(B44:C44:D44:E44:G44:H44)</f>
        <v/>
      </c>
    </row>
    <row r="45">
      <c r="A45" t="inlineStr">
        <is>
          <t>Luglio</t>
        </is>
      </c>
      <c r="B45" t="n">
        <v>97.47</v>
      </c>
      <c r="C45" t="n">
        <v>0</v>
      </c>
      <c r="D45" t="n">
        <v>0</v>
      </c>
      <c r="E45" t="n">
        <v>111.2</v>
      </c>
      <c r="F45" t="n">
        <v>70</v>
      </c>
      <c r="G45" t="n">
        <v>0</v>
      </c>
      <c r="H45" t="n">
        <v>0</v>
      </c>
      <c r="I45">
        <f>SUM(B45:C45:D45:E45:G45:H45)</f>
        <v/>
      </c>
    </row>
    <row r="46">
      <c r="A46" t="inlineStr">
        <is>
          <t>Agosto</t>
        </is>
      </c>
      <c r="B46" t="n">
        <v>104.28</v>
      </c>
      <c r="C46" t="n">
        <v>0</v>
      </c>
      <c r="D46" t="n">
        <v>11.78</v>
      </c>
      <c r="E46" t="n">
        <v>112.4</v>
      </c>
      <c r="F46" t="n">
        <v>75</v>
      </c>
      <c r="G46" t="n">
        <v>0</v>
      </c>
      <c r="H46" t="n">
        <v>0</v>
      </c>
      <c r="I46">
        <f>SUM(B46:C46:D46:E46:G46:H46)</f>
        <v/>
      </c>
    </row>
    <row r="47">
      <c r="A47" t="inlineStr">
        <is>
          <t>Settembre</t>
        </is>
      </c>
      <c r="B47" t="n">
        <v>131.57</v>
      </c>
      <c r="C47" t="n">
        <v>0</v>
      </c>
      <c r="D47" t="n">
        <v>47.12</v>
      </c>
      <c r="E47" t="n">
        <v>87.69</v>
      </c>
      <c r="F47" t="n">
        <v>90</v>
      </c>
      <c r="G47" t="n">
        <v>0</v>
      </c>
      <c r="H47" t="n">
        <v>0</v>
      </c>
      <c r="I47">
        <f>SUM(B47:C47:D47:E47:G47:H47)</f>
        <v/>
      </c>
    </row>
    <row r="48">
      <c r="A48" t="inlineStr">
        <is>
          <t>Ottobre</t>
        </is>
      </c>
      <c r="B48" t="n">
        <v>104.08</v>
      </c>
      <c r="C48" t="n">
        <v>0</v>
      </c>
      <c r="D48" t="n">
        <v>47.12</v>
      </c>
      <c r="E48" t="n">
        <v>149.46</v>
      </c>
      <c r="F48" t="n">
        <v>85</v>
      </c>
      <c r="G48" t="n">
        <v>0</v>
      </c>
      <c r="H48" t="n">
        <v>0</v>
      </c>
      <c r="I48">
        <f>SUM(B48:C48:D48:E48:G48:H48)</f>
        <v/>
      </c>
    </row>
    <row r="49">
      <c r="A49" t="inlineStr">
        <is>
          <t>Novembre</t>
        </is>
      </c>
      <c r="B49" t="n">
        <v>90.29000000000001</v>
      </c>
      <c r="C49" t="n">
        <v>0</v>
      </c>
      <c r="D49" t="n">
        <v>47.12</v>
      </c>
      <c r="E49" t="n">
        <v>121.22</v>
      </c>
      <c r="F49" t="n">
        <v>75</v>
      </c>
      <c r="G49" t="n">
        <v>0</v>
      </c>
      <c r="H49" t="n">
        <v>0</v>
      </c>
      <c r="I49">
        <f>SUM(B49:C49:D49:E49:G49:H49)</f>
        <v/>
      </c>
    </row>
    <row r="50">
      <c r="A50" t="inlineStr">
        <is>
          <t>Dicembre</t>
        </is>
      </c>
      <c r="B50" t="n">
        <v>84.33</v>
      </c>
      <c r="C50" t="n">
        <v>0</v>
      </c>
      <c r="D50" t="n">
        <v>11.78</v>
      </c>
      <c r="E50" t="n">
        <v>145.93</v>
      </c>
      <c r="F50" t="n">
        <v>70</v>
      </c>
      <c r="G50" t="n">
        <v>0</v>
      </c>
      <c r="H50" t="n">
        <v>0</v>
      </c>
      <c r="I50">
        <f>SUM(B50:C50:D50:E50:G50:H50)</f>
        <v/>
      </c>
    </row>
    <row r="51">
      <c r="A51" s="1" t="inlineStr">
        <is>
          <t>Somme annuali</t>
        </is>
      </c>
      <c r="B51" s="1">
        <f>SUM(B39,B40,B41,B42,B43,B44,B45,B46,B47,B48,B49,B50)</f>
        <v/>
      </c>
      <c r="C51" s="1">
        <f>SUM(C39,C40,C41,C42,C43,C44,C45,C46,C47,C48,C49,C50)</f>
        <v/>
      </c>
      <c r="D51" s="1">
        <f>SUM(D39,D40,D41,D42,D43,D44,D45,D46,D47,D48,D49,D50)</f>
        <v/>
      </c>
      <c r="E51" s="1">
        <f>SUM(E39,E40,E41,E42,E43,E44,E45,E46,E47,E48,E49,E50)</f>
        <v/>
      </c>
      <c r="F51" s="1">
        <f>SUM(F39,F40,F41,F42,F43,F44,F45,F46,F47,F48,F49,F50)</f>
        <v/>
      </c>
      <c r="G51" s="1">
        <f>SUM(G39,G40,G41,G42,G43,G44,G45,G46,G47,G48,G49,G50)</f>
        <v/>
      </c>
      <c r="H51" s="1">
        <f>SUM(H39,H40,H41,H42,H43,H44,H45,H46,H47,H48,H49,H50)</f>
        <v/>
      </c>
      <c r="I51" s="1">
        <f>SUM(I39,I40,I41,I42,I43,I44,I45,I46,I47,I48,I49,I50)</f>
        <v/>
      </c>
    </row>
    <row r="52">
      <c r="A52" s="1" t="inlineStr">
        <is>
          <t>Medie annue</t>
        </is>
      </c>
      <c r="B52" s="1">
        <f>(B51/337*28)</f>
        <v/>
      </c>
      <c r="C52" s="1">
        <f>(C51/337*28)</f>
        <v/>
      </c>
      <c r="D52" s="1">
        <f>(D51/337*28)</f>
        <v/>
      </c>
      <c r="E52" s="1">
        <f>(E51/337*28)</f>
        <v/>
      </c>
      <c r="F52" s="1">
        <f>(F51/337*28)</f>
        <v/>
      </c>
      <c r="G52" s="1">
        <f>(G51/337*28)</f>
        <v/>
      </c>
      <c r="H52" s="1">
        <f>(H51/337*28)</f>
        <v/>
      </c>
      <c r="I52" s="1">
        <f>(I51/337*28)</f>
        <v/>
      </c>
    </row>
    <row r="54">
      <c r="A54" s="1" t="n">
        <v>2022</v>
      </c>
      <c r="B54" s="2" t="inlineStr">
        <is>
          <t>Ind. Di turno diurno</t>
        </is>
      </c>
      <c r="C54" s="2" t="inlineStr">
        <is>
          <t>Ind rep turno</t>
        </is>
      </c>
      <c r="D54" s="2" t="inlineStr">
        <is>
          <t>IND turno fest/nott</t>
        </is>
      </c>
      <c r="E54" s="2" t="inlineStr">
        <is>
          <t>IND Turno nott o Fest.</t>
        </is>
      </c>
      <c r="F54" s="2" t="inlineStr">
        <is>
          <t>ind di rischio HH</t>
        </is>
      </c>
      <c r="G54" s="2" t="inlineStr">
        <is>
          <t>Ind pronta disponibilità</t>
        </is>
      </c>
      <c r="H54" s="2" t="inlineStr">
        <is>
          <t>IND servizio esterno</t>
        </is>
      </c>
      <c r="I54" s="2" t="inlineStr">
        <is>
          <t>Sommatoria precedenti</t>
        </is>
      </c>
    </row>
    <row r="55">
      <c r="A55" t="inlineStr">
        <is>
          <t>Gennaio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>
        <f>SUM(B55:C55:D55:E55:G55:H55)</f>
        <v/>
      </c>
    </row>
    <row r="56">
      <c r="A56" t="inlineStr">
        <is>
          <t>Febbraio</t>
        </is>
      </c>
      <c r="B56" t="n">
        <v>77.48999999999999</v>
      </c>
      <c r="C56" t="n">
        <v>0</v>
      </c>
      <c r="D56" t="n">
        <v>11.78</v>
      </c>
      <c r="E56" t="n">
        <v>98.28</v>
      </c>
      <c r="F56" t="n">
        <v>60</v>
      </c>
      <c r="G56" t="n">
        <v>0</v>
      </c>
      <c r="H56" t="n">
        <v>0</v>
      </c>
      <c r="I56">
        <f>SUM(B56:C56:D56:E56:G56:H56)</f>
        <v/>
      </c>
    </row>
    <row r="57">
      <c r="A57" t="inlineStr">
        <is>
          <t>Marzo</t>
        </is>
      </c>
      <c r="B57" t="n">
        <v>97.94</v>
      </c>
      <c r="C57" t="n">
        <v>0</v>
      </c>
      <c r="D57" t="n">
        <v>47.12</v>
      </c>
      <c r="E57" t="n">
        <v>108.87</v>
      </c>
      <c r="F57" t="n">
        <v>65</v>
      </c>
      <c r="G57" t="n">
        <v>0</v>
      </c>
      <c r="H57" t="n">
        <v>0</v>
      </c>
      <c r="I57">
        <f>SUM(B57:C57:D57:E57:G57:H57)</f>
        <v/>
      </c>
    </row>
    <row r="58">
      <c r="A58" t="inlineStr">
        <is>
          <t>Aprile</t>
        </is>
      </c>
      <c r="B58" t="n">
        <v>79.84</v>
      </c>
      <c r="C58" t="n">
        <v>0</v>
      </c>
      <c r="D58" t="n">
        <v>35.34</v>
      </c>
      <c r="E58" t="n">
        <v>236.51</v>
      </c>
      <c r="F58" t="n">
        <v>85</v>
      </c>
      <c r="G58" t="n">
        <v>0</v>
      </c>
      <c r="H58" t="n">
        <v>0</v>
      </c>
      <c r="I58">
        <f>SUM(B58:C58:D58:E58:G58:H58)</f>
        <v/>
      </c>
    </row>
    <row r="59">
      <c r="A59" t="inlineStr">
        <is>
          <t>Maggio</t>
        </is>
      </c>
      <c r="B59" t="n">
        <v>99.12</v>
      </c>
      <c r="C59" t="n">
        <v>0</v>
      </c>
      <c r="D59" t="n">
        <v>11.78</v>
      </c>
      <c r="E59" t="n">
        <v>133.58</v>
      </c>
      <c r="F59" t="n">
        <v>65</v>
      </c>
      <c r="G59" t="n">
        <v>0</v>
      </c>
      <c r="H59" t="n">
        <v>0</v>
      </c>
      <c r="I59">
        <f>SUM(B59:C59:D59:E59:G59:H59)</f>
        <v/>
      </c>
    </row>
    <row r="60">
      <c r="A60" t="inlineStr">
        <is>
          <t>Giugno</t>
        </is>
      </c>
      <c r="B60" t="n">
        <v>26.16</v>
      </c>
      <c r="C60" t="n">
        <v>0</v>
      </c>
      <c r="D60" t="n">
        <v>35.34</v>
      </c>
      <c r="E60" t="n">
        <v>65.31</v>
      </c>
      <c r="F60" t="n">
        <v>30</v>
      </c>
      <c r="G60" t="n">
        <v>0</v>
      </c>
      <c r="H60" t="n">
        <v>0</v>
      </c>
      <c r="I60">
        <f>SUM(B60:C60:D60:E60:G60:H60)</f>
        <v/>
      </c>
    </row>
    <row r="61">
      <c r="A61" t="inlineStr">
        <is>
          <t>Luglio</t>
        </is>
      </c>
      <c r="B61" t="n">
        <v>84.84999999999999</v>
      </c>
      <c r="C61" t="n">
        <v>0</v>
      </c>
      <c r="D61" t="n">
        <v>58.9</v>
      </c>
      <c r="E61" t="n">
        <v>140.04</v>
      </c>
      <c r="F61" t="n">
        <v>75</v>
      </c>
      <c r="G61" t="n">
        <v>0</v>
      </c>
      <c r="H61" t="n">
        <v>0</v>
      </c>
      <c r="I61">
        <f>SUM(B61:C61:D61:E61:G61:H61)</f>
        <v/>
      </c>
    </row>
    <row r="62">
      <c r="A62" t="inlineStr">
        <is>
          <t>Agosto</t>
        </is>
      </c>
      <c r="B62" t="n">
        <v>75.52</v>
      </c>
      <c r="C62" t="n">
        <v>0</v>
      </c>
      <c r="D62" t="n">
        <v>47.12</v>
      </c>
      <c r="E62" t="n">
        <v>122.99</v>
      </c>
      <c r="F62" t="n">
        <v>65</v>
      </c>
      <c r="G62" t="n">
        <v>0</v>
      </c>
      <c r="H62" t="n">
        <v>0</v>
      </c>
      <c r="I62">
        <f>SUM(B62:C62:D62:E62:G62:H62)</f>
        <v/>
      </c>
    </row>
    <row r="63">
      <c r="A63" t="inlineStr">
        <is>
          <t>Settembre</t>
        </is>
      </c>
      <c r="B63" t="n">
        <v>86.90000000000001</v>
      </c>
      <c r="C63" t="n">
        <v>0</v>
      </c>
      <c r="D63" t="n">
        <v>35.34</v>
      </c>
      <c r="E63" t="n">
        <v>148.26</v>
      </c>
      <c r="F63" t="n">
        <v>75</v>
      </c>
      <c r="G63" t="n">
        <v>0</v>
      </c>
      <c r="H63" t="n">
        <v>0</v>
      </c>
      <c r="I63">
        <f>SUM(B63:C63:D63:E63:G63:H63)</f>
        <v/>
      </c>
    </row>
    <row r="64">
      <c r="A64" t="inlineStr">
        <is>
          <t>Ottobre</t>
        </is>
      </c>
      <c r="B64" t="n">
        <v>103.24</v>
      </c>
      <c r="C64" t="n">
        <v>0</v>
      </c>
      <c r="D64" t="n">
        <v>35.34</v>
      </c>
      <c r="E64" t="n">
        <v>120.02</v>
      </c>
      <c r="F64" t="n">
        <v>80</v>
      </c>
      <c r="G64" t="n">
        <v>0</v>
      </c>
      <c r="H64" t="n">
        <v>0</v>
      </c>
      <c r="I64">
        <f>SUM(B64:C64:D64:E64:G64:H64)</f>
        <v/>
      </c>
    </row>
    <row r="65">
      <c r="A65" t="inlineStr">
        <is>
          <t>Novembre</t>
        </is>
      </c>
      <c r="B65" t="n">
        <v>106.67</v>
      </c>
      <c r="C65" t="n">
        <v>0</v>
      </c>
      <c r="D65" t="n">
        <v>47.12</v>
      </c>
      <c r="E65" t="n">
        <v>148.44</v>
      </c>
      <c r="F65" t="n">
        <v>85</v>
      </c>
      <c r="G65" t="n">
        <v>0</v>
      </c>
      <c r="H65" t="n">
        <v>0</v>
      </c>
      <c r="I65">
        <f>SUM(B65:C65:D65:E65:G65:H65)</f>
        <v/>
      </c>
    </row>
    <row r="66">
      <c r="A66" t="inlineStr">
        <is>
          <t>Dicembre</t>
        </is>
      </c>
      <c r="B66" t="n">
        <v>75.52</v>
      </c>
      <c r="C66" t="n">
        <v>0</v>
      </c>
      <c r="D66" t="n">
        <v>58.9</v>
      </c>
      <c r="E66" t="n">
        <v>198.28</v>
      </c>
      <c r="F66" t="n">
        <v>80</v>
      </c>
      <c r="G66" t="n">
        <v>0</v>
      </c>
      <c r="H66" t="n">
        <v>0</v>
      </c>
      <c r="I66">
        <f>SUM(B66:C66:D66:E66:G66:H66)</f>
        <v/>
      </c>
    </row>
    <row r="67">
      <c r="A67" s="1" t="inlineStr">
        <is>
          <t>Somme annuali</t>
        </is>
      </c>
      <c r="B67" s="1">
        <f>SUM(B55,B56,B57,B58,B59,B60,B61,B62,B63,B64,B65,B66)</f>
        <v/>
      </c>
      <c r="C67" s="1">
        <f>SUM(C55,C56,C57,C58,C59,C60,C61,C62,C63,C64,C65,C66)</f>
        <v/>
      </c>
      <c r="D67" s="1">
        <f>SUM(D55,D56,D57,D58,D59,D60,D61,D62,D63,D64,D65,D66)</f>
        <v/>
      </c>
      <c r="E67" s="1">
        <f>SUM(E55,E56,E57,E58,E59,E60,E61,E62,E63,E64,E65,E66)</f>
        <v/>
      </c>
      <c r="F67" s="1">
        <f>SUM(F55,F56,F57,F58,F59,F60,F61,F62,F63,F64,F65,F66)</f>
        <v/>
      </c>
      <c r="G67" s="1">
        <f>SUM(G55,G56,G57,G58,G59,G60,G61,G62,G63,G64,G65,G66)</f>
        <v/>
      </c>
      <c r="H67" s="1">
        <f>SUM(H55,H56,H57,H58,H59,H60,H61,H62,H63,H64,H65,H66)</f>
        <v/>
      </c>
      <c r="I67" s="1">
        <f>SUM(I55,I56,I57,I58,I59,I60,I61,I62,I63,I64,I65,I66)</f>
        <v/>
      </c>
    </row>
    <row r="68">
      <c r="A68" s="1" t="inlineStr">
        <is>
          <t>Medie annue</t>
        </is>
      </c>
      <c r="B68" s="1">
        <f>(B67/337*28)</f>
        <v/>
      </c>
      <c r="C68" s="1">
        <f>(C67/337*28)</f>
        <v/>
      </c>
      <c r="D68" s="1">
        <f>(D67/337*28)</f>
        <v/>
      </c>
      <c r="E68" s="1">
        <f>(E67/337*28)</f>
        <v/>
      </c>
      <c r="F68" s="1">
        <f>(F67/337*28)</f>
        <v/>
      </c>
      <c r="G68" s="1">
        <f>(G67/337*28)</f>
        <v/>
      </c>
      <c r="H68" s="1">
        <f>(H67/337*28)</f>
        <v/>
      </c>
      <c r="I68" s="1">
        <f>(I67/337*28)</f>
        <v/>
      </c>
    </row>
    <row r="70">
      <c r="A70" s="1" t="n">
        <v>2023</v>
      </c>
      <c r="B70" s="2" t="inlineStr">
        <is>
          <t>Ind. Di turno diurno</t>
        </is>
      </c>
      <c r="C70" s="2" t="inlineStr">
        <is>
          <t>Ind rep turno</t>
        </is>
      </c>
      <c r="D70" s="2" t="inlineStr">
        <is>
          <t>IND turno fest/nott</t>
        </is>
      </c>
      <c r="E70" s="2" t="inlineStr">
        <is>
          <t>IND Turno nott o Fest.</t>
        </is>
      </c>
      <c r="F70" s="2" t="inlineStr">
        <is>
          <t>ind di rischio HH</t>
        </is>
      </c>
      <c r="G70" s="2" t="inlineStr">
        <is>
          <t>Ind pronta disponibilità</t>
        </is>
      </c>
      <c r="H70" s="2" t="inlineStr">
        <is>
          <t>IND servizio esterno</t>
        </is>
      </c>
      <c r="I70" s="2" t="inlineStr">
        <is>
          <t>Sommatoria precedenti</t>
        </is>
      </c>
    </row>
    <row r="71">
      <c r="A71" t="inlineStr">
        <is>
          <t>Gennaio</t>
        </is>
      </c>
      <c r="B71" t="n">
        <v>121.54</v>
      </c>
      <c r="C71" t="n">
        <v>0</v>
      </c>
      <c r="D71" t="n">
        <v>35.34</v>
      </c>
      <c r="E71" t="n">
        <v>133.05</v>
      </c>
      <c r="F71" t="n">
        <v>90</v>
      </c>
      <c r="G71" t="n">
        <v>0</v>
      </c>
      <c r="H71" t="n">
        <v>0</v>
      </c>
      <c r="I71">
        <f>SUM(B71:C71:D71:E71:G71:H71)</f>
        <v/>
      </c>
    </row>
    <row r="72">
      <c r="A72" t="inlineStr">
        <is>
          <t>Febbraio</t>
        </is>
      </c>
      <c r="B72" t="n">
        <v>83.19</v>
      </c>
      <c r="C72" t="n">
        <v>0</v>
      </c>
      <c r="D72" t="n">
        <v>35.34</v>
      </c>
      <c r="E72" t="n">
        <v>93.55</v>
      </c>
      <c r="F72" t="n">
        <v>65</v>
      </c>
      <c r="G72" t="n">
        <v>0</v>
      </c>
      <c r="H72" t="n">
        <v>0</v>
      </c>
      <c r="I72">
        <f>SUM(B72:C72:D72:E72:G72:H72)</f>
        <v/>
      </c>
    </row>
    <row r="73">
      <c r="A73" t="inlineStr">
        <is>
          <t>Marzo</t>
        </is>
      </c>
      <c r="B73" t="n">
        <v>113.28</v>
      </c>
      <c r="C73" t="n">
        <v>0</v>
      </c>
      <c r="D73" t="n">
        <v>41.23</v>
      </c>
      <c r="E73" t="n">
        <v>159.45</v>
      </c>
      <c r="F73" t="n">
        <v>90</v>
      </c>
      <c r="G73" t="n">
        <v>0</v>
      </c>
      <c r="H73" t="n">
        <v>0</v>
      </c>
      <c r="I73">
        <f>SUM(B73:C73:D73:E73:G73:H73)</f>
        <v/>
      </c>
    </row>
    <row r="74">
      <c r="A74" t="inlineStr">
        <is>
          <t>Aprile</t>
        </is>
      </c>
      <c r="B74" t="n">
        <v>70.06</v>
      </c>
      <c r="C74" t="n">
        <v>0</v>
      </c>
      <c r="D74" t="n">
        <v>0</v>
      </c>
      <c r="E74" t="n">
        <v>179.94</v>
      </c>
      <c r="F74" t="n">
        <v>65</v>
      </c>
      <c r="G74" t="n">
        <v>0</v>
      </c>
      <c r="H74" t="n">
        <v>0</v>
      </c>
      <c r="I74">
        <f>SUM(B74:C74:D74:E74:G74:H74)</f>
        <v/>
      </c>
    </row>
    <row r="75">
      <c r="A75" t="inlineStr">
        <is>
          <t>Maggio</t>
        </is>
      </c>
      <c r="B75" t="n">
        <v>95.90000000000001</v>
      </c>
      <c r="C75" t="n">
        <v>0</v>
      </c>
      <c r="D75" t="n">
        <v>0</v>
      </c>
      <c r="E75" t="n">
        <v>209.62</v>
      </c>
      <c r="F75" t="n">
        <v>85</v>
      </c>
      <c r="G75" t="n">
        <v>0</v>
      </c>
      <c r="H75" t="n">
        <v>0</v>
      </c>
      <c r="I75">
        <f>SUM(B75:C75:D75:E75:G75:H75)</f>
        <v/>
      </c>
    </row>
    <row r="76">
      <c r="A76" t="inlineStr">
        <is>
          <t>Giugno</t>
        </is>
      </c>
      <c r="B76" t="n">
        <v>76.34999999999999</v>
      </c>
      <c r="C76" t="n">
        <v>0</v>
      </c>
      <c r="D76" t="n">
        <v>49.52</v>
      </c>
      <c r="E76" t="n">
        <v>175.63</v>
      </c>
      <c r="F76" t="n">
        <v>75</v>
      </c>
      <c r="G76" t="n">
        <v>0</v>
      </c>
      <c r="H76" t="n">
        <v>0</v>
      </c>
      <c r="I76">
        <f>SUM(B76:C76:D76:E76:G76:H76)</f>
        <v/>
      </c>
    </row>
    <row r="77">
      <c r="A77" t="inlineStr">
        <is>
          <t>Luglio</t>
        </is>
      </c>
      <c r="B77" t="n">
        <v>76.66</v>
      </c>
      <c r="C77" t="n">
        <v>0</v>
      </c>
      <c r="D77" t="n">
        <v>49.52</v>
      </c>
      <c r="E77" t="n">
        <v>127.4</v>
      </c>
      <c r="F77" t="n">
        <v>65</v>
      </c>
      <c r="G77" t="n">
        <v>0</v>
      </c>
      <c r="H77" t="n">
        <v>0</v>
      </c>
      <c r="I77">
        <f>SUM(B77:C77:D77:E77:G77:H77)</f>
        <v/>
      </c>
    </row>
    <row r="78">
      <c r="A78" t="inlineStr">
        <is>
          <t>Agosto</t>
        </is>
      </c>
      <c r="B78" t="n">
        <v>60.33</v>
      </c>
      <c r="C78" t="n">
        <v>0</v>
      </c>
      <c r="D78" t="n">
        <v>12.38</v>
      </c>
      <c r="E78" t="n">
        <v>138.53</v>
      </c>
      <c r="F78" t="n">
        <v>55</v>
      </c>
      <c r="G78" t="n">
        <v>0</v>
      </c>
      <c r="H78" t="n">
        <v>0</v>
      </c>
      <c r="I78">
        <f>SUM(B78:C78:D78:E78:G78:H78)</f>
        <v/>
      </c>
    </row>
    <row r="79">
      <c r="A79" t="inlineStr">
        <is>
          <t>Settembre</t>
        </is>
      </c>
      <c r="B79" t="n">
        <v>105.05</v>
      </c>
      <c r="C79" t="n">
        <v>0</v>
      </c>
      <c r="D79" t="n">
        <v>37.14</v>
      </c>
      <c r="E79" t="n">
        <v>199.75</v>
      </c>
      <c r="F79" t="n">
        <v>90</v>
      </c>
      <c r="G79" t="n">
        <v>0</v>
      </c>
      <c r="H79" t="n">
        <v>0</v>
      </c>
      <c r="I79">
        <f>SUM(B79:C79:D79:E79:G79:H79)</f>
        <v/>
      </c>
    </row>
    <row r="80">
      <c r="A80" t="inlineStr">
        <is>
          <t>Ottobre</t>
        </is>
      </c>
      <c r="B80" t="n">
        <v>80.59999999999999</v>
      </c>
      <c r="C80" t="n">
        <v>0</v>
      </c>
      <c r="D80" t="n">
        <v>86.66</v>
      </c>
      <c r="E80" t="n">
        <v>138.53</v>
      </c>
      <c r="F80" t="n">
        <v>70</v>
      </c>
      <c r="G80" t="n">
        <v>0</v>
      </c>
      <c r="H80" t="n">
        <v>0</v>
      </c>
      <c r="I80">
        <f>SUM(B80:C80:D80:E80:G80:H80)</f>
        <v/>
      </c>
    </row>
    <row r="81">
      <c r="A81" t="inlineStr">
        <is>
          <t>Novembre</t>
        </is>
      </c>
      <c r="B81" t="n">
        <v>89.34</v>
      </c>
      <c r="C81" t="n">
        <v>0</v>
      </c>
      <c r="D81" t="n">
        <v>49.52</v>
      </c>
      <c r="E81" t="n">
        <v>99.58</v>
      </c>
      <c r="F81" t="n">
        <v>65</v>
      </c>
      <c r="G81" t="n">
        <v>0</v>
      </c>
      <c r="H81" t="n">
        <v>0</v>
      </c>
      <c r="I81">
        <f>SUM(B81:C81:D81:E81:G81:H81)</f>
        <v/>
      </c>
    </row>
    <row r="82">
      <c r="A82" t="inlineStr">
        <is>
          <t>Dicembre</t>
        </is>
      </c>
      <c r="B82" t="n">
        <v>74.2</v>
      </c>
      <c r="C82" t="n">
        <v>0</v>
      </c>
      <c r="D82" t="n">
        <v>99.04000000000001</v>
      </c>
      <c r="E82" t="n">
        <v>211.47</v>
      </c>
      <c r="F82" t="n">
        <v>80</v>
      </c>
      <c r="G82" t="n">
        <v>0</v>
      </c>
      <c r="H82" t="n">
        <v>0</v>
      </c>
      <c r="I82">
        <f>SUM(B82:C82:D82:E82:G82:H82)</f>
        <v/>
      </c>
    </row>
    <row r="83">
      <c r="A83" s="1" t="inlineStr">
        <is>
          <t>Somme annuali</t>
        </is>
      </c>
      <c r="B83" s="1">
        <f>SUM(B71,B72,B73,B74,B75,B76,B77,B78,B79,B80,B81,B82)</f>
        <v/>
      </c>
      <c r="C83" s="1">
        <f>SUM(C71,C72,C73,C74,C75,C76,C77,C78,C79,C80,C81,C82)</f>
        <v/>
      </c>
      <c r="D83" s="1">
        <f>SUM(D71,D72,D73,D74,D75,D76,D77,D78,D79,D80,D81,D82)</f>
        <v/>
      </c>
      <c r="E83" s="1">
        <f>SUM(E71,E72,E73,E74,E75,E76,E77,E78,E79,E80,E81,E82)</f>
        <v/>
      </c>
      <c r="F83" s="1">
        <f>SUM(F71,F72,F73,F74,F75,F76,F77,F78,F79,F80,F81,F82)</f>
        <v/>
      </c>
      <c r="G83" s="1">
        <f>SUM(G71,G72,G73,G74,G75,G76,G77,G78,G79,G80,G81,G82)</f>
        <v/>
      </c>
      <c r="H83" s="1">
        <f>SUM(H71,H72,H73,H74,H75,H76,H77,H78,H79,H80,H81,H82)</f>
        <v/>
      </c>
      <c r="I83" s="1">
        <f>SUM(I71,I72,I73,I74,I75,I76,I77,I78,I79,I80,I81,I82)</f>
        <v/>
      </c>
    </row>
    <row r="84">
      <c r="A84" s="1" t="inlineStr">
        <is>
          <t>Medie annue</t>
        </is>
      </c>
      <c r="B84" s="1">
        <f>(B83/337*28)</f>
        <v/>
      </c>
      <c r="C84" s="1">
        <f>(C83/337*28)</f>
        <v/>
      </c>
      <c r="D84" s="1">
        <f>(D83/337*28)</f>
        <v/>
      </c>
      <c r="E84" s="1">
        <f>(E83/337*28)</f>
        <v/>
      </c>
      <c r="F84" s="1">
        <f>(F83/337*28)</f>
        <v/>
      </c>
      <c r="G84" s="1">
        <f>(G83/337*28)</f>
        <v/>
      </c>
      <c r="H84" s="1">
        <f>(H83/337*28)</f>
        <v/>
      </c>
      <c r="I84" s="1">
        <f>(I83/337*28)</f>
        <v/>
      </c>
    </row>
    <row r="86">
      <c r="A86" s="1" t="n">
        <v>2024</v>
      </c>
      <c r="B86" s="2" t="inlineStr">
        <is>
          <t>Ind. Di turno diurno</t>
        </is>
      </c>
      <c r="C86" s="2" t="inlineStr">
        <is>
          <t>Ind rep turno</t>
        </is>
      </c>
      <c r="D86" s="2" t="inlineStr">
        <is>
          <t>IND turno fest/nott</t>
        </is>
      </c>
      <c r="E86" s="2" t="inlineStr">
        <is>
          <t>IND Turno nott o Fest.</t>
        </is>
      </c>
      <c r="F86" s="2" t="inlineStr">
        <is>
          <t>ind di rischio HH</t>
        </is>
      </c>
      <c r="G86" s="2" t="inlineStr">
        <is>
          <t>Ind pronta disponibilità</t>
        </is>
      </c>
      <c r="H86" s="2" t="inlineStr">
        <is>
          <t>IND servizio esterno</t>
        </is>
      </c>
      <c r="I86" s="2" t="inlineStr">
        <is>
          <t>Sommatoria precedenti</t>
        </is>
      </c>
    </row>
    <row r="87">
      <c r="A87" t="inlineStr">
        <is>
          <t>Gennaio</t>
        </is>
      </c>
      <c r="B87" t="n">
        <v>101.43</v>
      </c>
      <c r="C87" t="n">
        <v>0</v>
      </c>
      <c r="D87" t="n">
        <v>12.38</v>
      </c>
      <c r="E87" t="n">
        <v>140.39</v>
      </c>
      <c r="F87" t="n">
        <v>210</v>
      </c>
      <c r="G87" t="n">
        <v>0</v>
      </c>
      <c r="H87" t="n">
        <v>0</v>
      </c>
      <c r="I87">
        <f>SUM(B87:C87:D87:E87:G87:H87)</f>
        <v/>
      </c>
    </row>
    <row r="88">
      <c r="A88" t="inlineStr">
        <is>
          <t>Febbraio</t>
        </is>
      </c>
      <c r="B88" t="n">
        <v>71.3</v>
      </c>
      <c r="C88" t="n">
        <v>0</v>
      </c>
      <c r="D88" t="n">
        <v>12.38</v>
      </c>
      <c r="E88" t="n">
        <v>140.39</v>
      </c>
      <c r="F88" t="n">
        <v>168</v>
      </c>
      <c r="G88" t="n">
        <v>0</v>
      </c>
      <c r="H88" t="n">
        <v>0</v>
      </c>
      <c r="I88">
        <f>SUM(B88:C88:D88:E88:G88:H88)</f>
        <v/>
      </c>
    </row>
    <row r="89">
      <c r="A89" t="inlineStr">
        <is>
          <t>Marzo</t>
        </is>
      </c>
      <c r="B89" t="n">
        <v>89.48999999999999</v>
      </c>
      <c r="C89" t="n">
        <v>0</v>
      </c>
      <c r="D89" t="n">
        <v>49.52</v>
      </c>
      <c r="E89" t="n">
        <v>127.4</v>
      </c>
      <c r="F89" t="n">
        <v>196</v>
      </c>
      <c r="G89" t="n">
        <v>0</v>
      </c>
      <c r="H89" t="n">
        <v>0</v>
      </c>
      <c r="I89">
        <f>SUM(B89:C89:D89:E89:G89:H89)</f>
        <v/>
      </c>
    </row>
    <row r="90">
      <c r="A90" t="inlineStr">
        <is>
          <t>Aprile</t>
        </is>
      </c>
      <c r="B90" t="n">
        <v>100.65</v>
      </c>
      <c r="C90" t="n">
        <v>0</v>
      </c>
      <c r="D90" t="n">
        <v>37.14</v>
      </c>
      <c r="E90" t="n">
        <v>225.72</v>
      </c>
      <c r="F90" t="n">
        <v>224</v>
      </c>
      <c r="G90" t="n">
        <v>0</v>
      </c>
      <c r="H90" t="n">
        <v>0</v>
      </c>
      <c r="I90">
        <f>SUM(B90:C90:D90:E90:G90:H90)</f>
        <v/>
      </c>
    </row>
    <row r="91">
      <c r="A91" t="inlineStr">
        <is>
          <t>Maggio</t>
        </is>
      </c>
      <c r="B91" t="n">
        <v>100.28</v>
      </c>
      <c r="C91" t="n">
        <v>0</v>
      </c>
      <c r="D91" t="n">
        <v>0</v>
      </c>
      <c r="E91" t="n">
        <v>194.78</v>
      </c>
      <c r="F91" t="n">
        <v>238</v>
      </c>
      <c r="G91" t="n">
        <v>0</v>
      </c>
      <c r="H91" t="n">
        <v>0</v>
      </c>
      <c r="I91">
        <f>SUM(B91:C91:D91:E91:G91:H91)</f>
        <v/>
      </c>
    </row>
    <row r="92">
      <c r="A92" t="inlineStr">
        <is>
          <t>Giugno</t>
        </is>
      </c>
      <c r="B92" t="n">
        <v>112.24</v>
      </c>
      <c r="C92" t="n">
        <v>0</v>
      </c>
      <c r="D92" t="n">
        <v>49.52</v>
      </c>
      <c r="E92" t="n">
        <v>179.34</v>
      </c>
      <c r="F92" t="n">
        <v>252</v>
      </c>
      <c r="G92" t="n">
        <v>0</v>
      </c>
      <c r="H92" t="n">
        <v>0</v>
      </c>
      <c r="I92">
        <f>SUM(B92:C92:D92:E92:G92:H92)</f>
        <v/>
      </c>
    </row>
    <row r="93">
      <c r="A93" t="inlineStr">
        <is>
          <t>Luglio</t>
        </is>
      </c>
      <c r="B93" t="n">
        <v>140.23</v>
      </c>
      <c r="C93" t="n">
        <v>0</v>
      </c>
      <c r="D93" t="n">
        <v>37.14</v>
      </c>
      <c r="E93" t="n">
        <v>163.24</v>
      </c>
      <c r="F93" t="n">
        <v>280</v>
      </c>
      <c r="G93" t="n">
        <v>0</v>
      </c>
      <c r="H93" t="n">
        <v>0</v>
      </c>
      <c r="I93">
        <f>SUM(B93:C93:D93:E93:G93:H93)</f>
        <v/>
      </c>
    </row>
    <row r="94">
      <c r="A94" t="inlineStr">
        <is>
          <t>Agosto</t>
        </is>
      </c>
      <c r="B94" t="n">
        <v>30.8</v>
      </c>
      <c r="C94" t="n">
        <v>0</v>
      </c>
      <c r="D94" t="n">
        <v>37.14</v>
      </c>
      <c r="E94" t="n">
        <v>38.96</v>
      </c>
      <c r="F94" t="n">
        <v>70</v>
      </c>
      <c r="G94" t="n">
        <v>0</v>
      </c>
      <c r="H94" t="n">
        <v>0</v>
      </c>
      <c r="I94">
        <f>SUM(B94:C94:D94:E94:G94:H94)</f>
        <v/>
      </c>
    </row>
    <row r="95">
      <c r="A95" t="inlineStr">
        <is>
          <t>Settembre</t>
        </is>
      </c>
      <c r="B95" t="n">
        <v>128.76</v>
      </c>
      <c r="C95" t="n">
        <v>0</v>
      </c>
      <c r="D95" t="n">
        <v>0</v>
      </c>
      <c r="E95" t="n">
        <v>115.01</v>
      </c>
      <c r="F95" t="n">
        <v>238</v>
      </c>
      <c r="G95" t="n">
        <v>0</v>
      </c>
      <c r="H95" t="n">
        <v>0</v>
      </c>
      <c r="I95">
        <f>SUM(B95:C95:D95:E95:G95:H95)</f>
        <v/>
      </c>
    </row>
    <row r="96">
      <c r="A96" t="inlineStr">
        <is>
          <t>Ottobre</t>
        </is>
      </c>
      <c r="B96" t="n">
        <v>120.86</v>
      </c>
      <c r="C96" t="n">
        <v>0</v>
      </c>
      <c r="D96" t="n">
        <v>0</v>
      </c>
      <c r="E96" t="n">
        <v>146.55</v>
      </c>
      <c r="F96" t="n">
        <v>238</v>
      </c>
      <c r="G96" t="n">
        <v>0</v>
      </c>
      <c r="H96" t="n">
        <v>0</v>
      </c>
      <c r="I96">
        <f>SUM(B96:C96:D96:E96:G96:H96)</f>
        <v/>
      </c>
    </row>
    <row r="97">
      <c r="A97" t="inlineStr">
        <is>
          <t>Novembre</t>
        </is>
      </c>
      <c r="B97" t="n">
        <v>89.23999999999999</v>
      </c>
      <c r="C97" t="n">
        <v>0</v>
      </c>
      <c r="D97" t="n">
        <v>34.05</v>
      </c>
      <c r="E97" t="n">
        <v>137.27</v>
      </c>
      <c r="F97" t="n">
        <v>196</v>
      </c>
      <c r="G97" t="n">
        <v>0</v>
      </c>
      <c r="H97" t="n">
        <v>0</v>
      </c>
      <c r="I97">
        <f>SUM(B97:C97:D97:E97:G97:H97)</f>
        <v/>
      </c>
    </row>
    <row r="98">
      <c r="A98" t="inlineStr">
        <is>
          <t>Dicembre</t>
        </is>
      </c>
      <c r="B98" t="n">
        <v>70.3</v>
      </c>
      <c r="C98" t="n">
        <v>0</v>
      </c>
      <c r="D98" t="n">
        <v>0</v>
      </c>
      <c r="E98" t="n">
        <v>90.04000000000001</v>
      </c>
      <c r="F98" t="n">
        <v>140</v>
      </c>
      <c r="G98" t="n">
        <v>0</v>
      </c>
      <c r="H98" t="n">
        <v>0</v>
      </c>
      <c r="I98">
        <f>SUM(B98:C98:D98:E98:G98:H98)</f>
        <v/>
      </c>
    </row>
    <row r="99">
      <c r="A99" s="1" t="inlineStr">
        <is>
          <t>Somme annuali</t>
        </is>
      </c>
      <c r="B99" s="1">
        <f>SUM(B87,B88,B89,B90,B91,B92,B93,B94,B95,B96,B97,B98)</f>
        <v/>
      </c>
      <c r="C99" s="1">
        <f>SUM(C87,C88,C89,C90,C91,C92,C93,C94,C95,C96,C97,C98)</f>
        <v/>
      </c>
      <c r="D99" s="1">
        <f>SUM(D87,D88,D89,D90,D91,D92,D93,D94,D95,D96,D97,D98)</f>
        <v/>
      </c>
      <c r="E99" s="1">
        <f>SUM(E87,E88,E89,E90,E91,E92,E93,E94,E95,E96,E97,E98)</f>
        <v/>
      </c>
      <c r="F99" s="1">
        <f>SUM(F87,F88,F89,F90,F91,F92,F93,F94,F95,F96,F97,F98)</f>
        <v/>
      </c>
      <c r="G99" s="1">
        <f>SUM(G87,G88,G89,G90,G91,G92,G93,G94,G95,G96,G97,G98)</f>
        <v/>
      </c>
      <c r="H99" s="1">
        <f>SUM(H87,H88,H89,H90,H91,H92,H93,H94,H95,H96,H97,H98)</f>
        <v/>
      </c>
      <c r="I99" s="1">
        <f>SUM(I87,I88,I89,I90,I91,I92,I93,I94,I95,I96,I97,I98)</f>
        <v/>
      </c>
    </row>
    <row r="100">
      <c r="A100" s="1" t="inlineStr">
        <is>
          <t>Medie annue</t>
        </is>
      </c>
      <c r="B100" s="1">
        <f>(B99/337*28)</f>
        <v/>
      </c>
      <c r="C100" s="1">
        <f>(C99/337*28)</f>
        <v/>
      </c>
      <c r="D100" s="1">
        <f>(D99/337*28)</f>
        <v/>
      </c>
      <c r="E100" s="1">
        <f>(E99/337*28)</f>
        <v/>
      </c>
      <c r="F100" s="1">
        <f>(F99/337*28)</f>
        <v/>
      </c>
      <c r="G100" s="1">
        <f>(G99/337*28)</f>
        <v/>
      </c>
      <c r="H100" s="1">
        <f>(H99/337*28)</f>
        <v/>
      </c>
      <c r="I100" s="1">
        <f>(I99/337*28)</f>
        <v/>
      </c>
    </row>
    <row r="102">
      <c r="A102" s="1" t="n">
        <v>2025</v>
      </c>
      <c r="B102" s="2" t="inlineStr">
        <is>
          <t>Ind. Di turno diurno</t>
        </is>
      </c>
      <c r="C102" s="2" t="inlineStr">
        <is>
          <t>Ind rep turno</t>
        </is>
      </c>
      <c r="D102" s="2" t="inlineStr">
        <is>
          <t>IND turno fest/nott</t>
        </is>
      </c>
      <c r="E102" s="2" t="inlineStr">
        <is>
          <t>IND Turno nott o Fest.</t>
        </is>
      </c>
      <c r="F102" s="2" t="inlineStr">
        <is>
          <t>ind di rischio HH</t>
        </is>
      </c>
      <c r="G102" s="2" t="inlineStr">
        <is>
          <t>Ind pronta disponibilità</t>
        </is>
      </c>
      <c r="H102" s="2" t="inlineStr">
        <is>
          <t>IND servizio esterno</t>
        </is>
      </c>
      <c r="I102" s="2" t="inlineStr">
        <is>
          <t>Sommatoria precedenti</t>
        </is>
      </c>
    </row>
    <row r="103">
      <c r="A103" t="inlineStr">
        <is>
          <t>Gennaio</t>
        </is>
      </c>
      <c r="B103" t="n">
        <v>104.56</v>
      </c>
      <c r="C103" t="n">
        <v>0</v>
      </c>
      <c r="D103" t="n">
        <v>46.43</v>
      </c>
      <c r="E103" t="n">
        <v>324.82</v>
      </c>
      <c r="F103" t="n">
        <v>224</v>
      </c>
      <c r="G103" t="n">
        <v>0</v>
      </c>
      <c r="H103" t="n">
        <v>0</v>
      </c>
      <c r="I103">
        <f>SUM(B103:C103:D103:E103:G103:H103)</f>
        <v/>
      </c>
    </row>
    <row r="104">
      <c r="A104" t="inlineStr">
        <is>
          <t>Febbraio</t>
        </is>
      </c>
      <c r="B104" t="n">
        <v>99.81999999999999</v>
      </c>
      <c r="C104" t="n">
        <v>0</v>
      </c>
      <c r="D104" t="n">
        <v>0</v>
      </c>
      <c r="E104" t="n">
        <v>153.37</v>
      </c>
      <c r="F104" t="n">
        <v>210</v>
      </c>
      <c r="G104" t="n">
        <v>0</v>
      </c>
      <c r="H104" t="n">
        <v>0</v>
      </c>
      <c r="I104">
        <f>SUM(B104:C104:D104:E104:G104:H104)</f>
        <v/>
      </c>
    </row>
    <row r="105">
      <c r="A105" t="inlineStr">
        <is>
          <t>Marzo</t>
        </is>
      </c>
      <c r="B105" t="n">
        <v>109.17</v>
      </c>
      <c r="C105" t="n">
        <v>0</v>
      </c>
      <c r="D105" t="n">
        <v>0</v>
      </c>
      <c r="E105" t="n">
        <v>173.78</v>
      </c>
      <c r="F105" t="n">
        <v>238</v>
      </c>
      <c r="G105" t="n">
        <v>0</v>
      </c>
      <c r="H105" t="n">
        <v>0</v>
      </c>
      <c r="I105">
        <f>SUM(B105:C105:D105:E105:G105:H105)</f>
        <v/>
      </c>
    </row>
    <row r="106">
      <c r="A106" t="inlineStr">
        <is>
          <t>Aprile</t>
        </is>
      </c>
      <c r="B106" t="n">
        <v>71.86</v>
      </c>
      <c r="C106" t="n">
        <v>0</v>
      </c>
      <c r="D106" t="n">
        <v>0</v>
      </c>
      <c r="E106" t="n">
        <v>373.05</v>
      </c>
      <c r="F106" t="n">
        <v>224</v>
      </c>
      <c r="G106" t="n">
        <v>0</v>
      </c>
      <c r="H106" t="n">
        <v>0</v>
      </c>
      <c r="I106">
        <f>SUM(B106:C106:D106:E106:G106:H106)</f>
        <v/>
      </c>
    </row>
    <row r="107">
      <c r="A107" t="inlineStr">
        <is>
          <t>Maggio</t>
        </is>
      </c>
      <c r="B107" t="n">
        <v>95.06</v>
      </c>
      <c r="C107" t="n">
        <v>0</v>
      </c>
      <c r="D107" t="n">
        <v>0</v>
      </c>
      <c r="E107" t="n">
        <v>338.61</v>
      </c>
      <c r="F107" t="n">
        <v>252</v>
      </c>
      <c r="G107" t="n">
        <v>0</v>
      </c>
      <c r="H107" t="n">
        <v>0</v>
      </c>
      <c r="I107">
        <f>SUM(B107:C107:D107:E107:G107:H107)</f>
        <v/>
      </c>
    </row>
    <row r="108">
      <c r="A108" t="inlineStr">
        <is>
          <t>Giugno</t>
        </is>
      </c>
      <c r="B108" t="n">
        <v>92.59</v>
      </c>
      <c r="C108" t="n">
        <v>0</v>
      </c>
      <c r="D108" t="n">
        <v>12.38</v>
      </c>
      <c r="E108" t="n">
        <v>103.88</v>
      </c>
      <c r="F108" t="n">
        <v>182</v>
      </c>
      <c r="G108" t="n">
        <v>0</v>
      </c>
      <c r="H108" t="n">
        <v>0</v>
      </c>
      <c r="I108">
        <f>SUM(B108:C108:D108:E108:G108:H108)</f>
        <v/>
      </c>
    </row>
    <row r="109">
      <c r="A109" t="inlineStr">
        <is>
          <t>Luglio</t>
        </is>
      </c>
      <c r="B109" t="n">
        <v>43.95</v>
      </c>
      <c r="C109" t="n">
        <v>0</v>
      </c>
      <c r="D109" t="n">
        <v>0</v>
      </c>
      <c r="E109" t="n">
        <v>118.13</v>
      </c>
      <c r="F109" t="n">
        <v>112</v>
      </c>
      <c r="G109" t="n">
        <v>0</v>
      </c>
      <c r="H109" t="n">
        <v>0</v>
      </c>
      <c r="I109">
        <f>SUM(B109:C109:D109:E109:G109:H109)</f>
        <v/>
      </c>
    </row>
    <row r="110">
      <c r="A110" t="inlineStr">
        <is>
          <t>Agosto</t>
        </is>
      </c>
      <c r="B110" t="n">
        <v>71.04000000000001</v>
      </c>
      <c r="C110" t="n">
        <v>0</v>
      </c>
      <c r="D110" t="n">
        <v>0</v>
      </c>
      <c r="E110" t="n">
        <v>143.76</v>
      </c>
      <c r="F110" t="n">
        <v>154</v>
      </c>
      <c r="G110" t="n">
        <v>0</v>
      </c>
      <c r="H110" t="n">
        <v>0</v>
      </c>
      <c r="I110">
        <f>SUM(B110:C110:D110:E110:G110:H110)</f>
        <v/>
      </c>
    </row>
    <row r="111">
      <c r="A111" t="inlineStr">
        <is>
          <t>Settembre</t>
        </is>
      </c>
      <c r="B111" t="n">
        <v>101.95</v>
      </c>
      <c r="C111" t="n">
        <v>0</v>
      </c>
      <c r="D111" t="n">
        <v>0</v>
      </c>
      <c r="E111" t="n">
        <v>145.95</v>
      </c>
      <c r="F111" t="n">
        <v>210</v>
      </c>
      <c r="G111" t="n">
        <v>0</v>
      </c>
      <c r="H111" t="n">
        <v>0</v>
      </c>
      <c r="I111">
        <f>SUM(B111:C111:D111:E111:G111:H111)</f>
        <v/>
      </c>
    </row>
    <row r="112">
      <c r="A112" t="inlineStr">
        <is>
          <t>Ottobre</t>
        </is>
      </c>
      <c r="B112" t="n">
        <v>46.67</v>
      </c>
      <c r="C112" t="n">
        <v>0</v>
      </c>
      <c r="D112" t="n">
        <v>0</v>
      </c>
      <c r="E112" t="n">
        <v>116.87</v>
      </c>
      <c r="F112" t="n">
        <v>126</v>
      </c>
      <c r="G112" t="n">
        <v>0</v>
      </c>
      <c r="H112" t="n">
        <v>0</v>
      </c>
      <c r="I112">
        <f>SUM(B112:C112:D112:E112:G112:H112)</f>
        <v/>
      </c>
    </row>
    <row r="113">
      <c r="A113" t="inlineStr">
        <is>
          <t>Novembre</t>
        </is>
      </c>
      <c r="B113" t="n">
        <v>67.39</v>
      </c>
      <c r="C113" t="n">
        <v>0</v>
      </c>
      <c r="D113" t="n">
        <v>0</v>
      </c>
      <c r="E113" t="n">
        <v>203.86</v>
      </c>
      <c r="F113" t="n">
        <v>168</v>
      </c>
      <c r="G113" t="n">
        <v>0</v>
      </c>
      <c r="H113" t="n">
        <v>0</v>
      </c>
      <c r="I113">
        <f>SUM(B113:C113:D113:E113:G113:H113)</f>
        <v/>
      </c>
    </row>
    <row r="114">
      <c r="A114" t="inlineStr">
        <is>
          <t>Dicembre</t>
        </is>
      </c>
      <c r="B114" t="n">
        <v>56.01</v>
      </c>
      <c r="C114" t="n">
        <v>0</v>
      </c>
      <c r="D114" t="n">
        <v>0</v>
      </c>
      <c r="E114" t="n">
        <v>256.72</v>
      </c>
      <c r="F114" t="n">
        <v>168</v>
      </c>
      <c r="G114" t="n">
        <v>0</v>
      </c>
      <c r="H114" t="n">
        <v>0</v>
      </c>
      <c r="I114">
        <f>SUM(B114:C114:D114:E114:G114:H114)</f>
        <v/>
      </c>
    </row>
    <row r="115">
      <c r="A115" s="1" t="inlineStr">
        <is>
          <t>Somme annuali</t>
        </is>
      </c>
      <c r="B115" s="1">
        <f>SUM(B103,B104,B105,B106,B107,B108,B109,B110,B111,B112,B113,B114)</f>
        <v/>
      </c>
      <c r="C115" s="1">
        <f>SUM(C103,C104,C105,C106,C107,C108,C109,C110,C111,C112,C113,C114)</f>
        <v/>
      </c>
      <c r="D115" s="1">
        <f>SUM(D103,D104,D105,D106,D107,D108,D109,D110,D111,D112,D113,D114)</f>
        <v/>
      </c>
      <c r="E115" s="1">
        <f>SUM(E103,E104,E105,E106,E107,E108,E109,E110,E111,E112,E113,E114)</f>
        <v/>
      </c>
      <c r="F115" s="1">
        <f>SUM(F103,F104,F105,F106,F107,F108,F109,F110,F111,F112,F113,F114)</f>
        <v/>
      </c>
      <c r="G115" s="1">
        <f>SUM(G103,G104,G105,G106,G107,G108,G109,G110,G111,G112,G113,G114)</f>
        <v/>
      </c>
      <c r="H115" s="1">
        <f>SUM(H103,H104,H105,H106,H107,H108,H109,H110,H111,H112,H113,H114)</f>
        <v/>
      </c>
      <c r="I115" s="1">
        <f>SUM(I103,I104,I105,I106,I107,I108,I109,I110,I111,I112,I113,I114)</f>
        <v/>
      </c>
    </row>
    <row r="116">
      <c r="A116" s="1" t="inlineStr">
        <is>
          <t>Medie annue</t>
        </is>
      </c>
      <c r="B116" s="1">
        <f>(B115/337*28)</f>
        <v/>
      </c>
      <c r="C116" s="1">
        <f>(C115/337*28)</f>
        <v/>
      </c>
      <c r="D116" s="1">
        <f>(D115/337*28)</f>
        <v/>
      </c>
      <c r="E116" s="1">
        <f>(E115/337*28)</f>
        <v/>
      </c>
      <c r="F116" s="1">
        <f>(F115/337*28)</f>
        <v/>
      </c>
      <c r="G116" s="1">
        <f>(G115/337*28)</f>
        <v/>
      </c>
      <c r="H116" s="1">
        <f>(H115/337*28)</f>
        <v/>
      </c>
      <c r="I116" s="1">
        <f>(I115/337*28)</f>
        <v/>
      </c>
    </row>
    <row r="118">
      <c r="A118" s="1" t="n">
        <v>2026</v>
      </c>
      <c r="B118" s="2" t="inlineStr">
        <is>
          <t>Ind. Di turno diurno</t>
        </is>
      </c>
      <c r="C118" s="2" t="inlineStr">
        <is>
          <t>Ind rep turno</t>
        </is>
      </c>
      <c r="D118" s="2" t="inlineStr">
        <is>
          <t>IND turno fest/nott</t>
        </is>
      </c>
      <c r="E118" s="2" t="inlineStr">
        <is>
          <t>IND Turno nott o Fest.</t>
        </is>
      </c>
      <c r="F118" s="2" t="inlineStr">
        <is>
          <t>ind di rischio HH</t>
        </is>
      </c>
      <c r="G118" s="2" t="inlineStr">
        <is>
          <t>Ind pronta disponibilità</t>
        </is>
      </c>
      <c r="H118" s="2" t="inlineStr">
        <is>
          <t>IND servizio esterno</t>
        </is>
      </c>
      <c r="I118" s="2" t="inlineStr">
        <is>
          <t>Sommatoria precedenti</t>
        </is>
      </c>
    </row>
    <row r="119">
      <c r="A119" t="inlineStr">
        <is>
          <t>Gennaio</t>
        </is>
      </c>
      <c r="B119" t="n">
        <v>37.2</v>
      </c>
      <c r="C119" t="n">
        <v>0</v>
      </c>
      <c r="D119" t="n">
        <v>12.07</v>
      </c>
      <c r="E119" t="n">
        <v>141.38</v>
      </c>
      <c r="F119" t="n">
        <v>0</v>
      </c>
      <c r="G119" t="n">
        <v>0</v>
      </c>
      <c r="H119" t="n">
        <v>0</v>
      </c>
      <c r="I119">
        <f>SUM(B119:C119:D119:E119:G119:H119)</f>
        <v/>
      </c>
    </row>
    <row r="120">
      <c r="A120" t="inlineStr">
        <is>
          <t>Febbraio</t>
        </is>
      </c>
      <c r="B120" t="n">
        <v>69.38</v>
      </c>
      <c r="C120" t="n">
        <v>0</v>
      </c>
      <c r="D120" t="n">
        <v>0</v>
      </c>
      <c r="E120" t="n">
        <v>83.48</v>
      </c>
      <c r="F120" t="n">
        <v>0</v>
      </c>
      <c r="G120" t="n">
        <v>0</v>
      </c>
      <c r="H120" t="n">
        <v>0</v>
      </c>
      <c r="I120">
        <f>SUM(B120:C120:D120:E120:G120:H120)</f>
        <v/>
      </c>
    </row>
    <row r="121">
      <c r="A121" t="inlineStr">
        <is>
          <t>Marzo</t>
        </is>
      </c>
      <c r="B121" t="n">
        <v>73.09</v>
      </c>
      <c r="C121" t="n">
        <v>0</v>
      </c>
      <c r="D121" t="n">
        <v>46.43</v>
      </c>
      <c r="E121" t="n">
        <v>85.95999999999999</v>
      </c>
      <c r="F121" t="n">
        <v>0</v>
      </c>
      <c r="G121" t="n">
        <v>0</v>
      </c>
      <c r="H121" t="n">
        <v>0</v>
      </c>
      <c r="I121">
        <f>SUM(B121:C121:D121:E121:G121:H121)</f>
        <v/>
      </c>
    </row>
    <row r="122">
      <c r="A122" t="inlineStr">
        <is>
          <t>Aprile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>
        <f>SUM(B122:C122:D122:E122:G122:H122)</f>
        <v/>
      </c>
    </row>
    <row r="123">
      <c r="A123" t="inlineStr">
        <is>
          <t>Maggio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>
        <f>SUM(B123:C123:D123:E123:G123:H123)</f>
        <v/>
      </c>
    </row>
    <row r="124">
      <c r="A124" t="inlineStr">
        <is>
          <t>Giugno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>
        <f>SUM(B124:C124:D124:E124:G124:H124)</f>
        <v/>
      </c>
    </row>
    <row r="125">
      <c r="A125" t="inlineStr">
        <is>
          <t>Luglio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>
        <f>SUM(B125:C125:D125:E125:G125:H125)</f>
        <v/>
      </c>
    </row>
    <row r="126">
      <c r="A126" t="inlineStr">
        <is>
          <t>Agosto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>
        <f>SUM(B126:C126:D126:E126:G126:H126)</f>
        <v/>
      </c>
    </row>
    <row r="127">
      <c r="A127" t="inlineStr">
        <is>
          <t>Settembre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>
        <f>SUM(B127:C127:D127:E127:G127:H127)</f>
        <v/>
      </c>
    </row>
    <row r="128">
      <c r="A128" t="inlineStr">
        <is>
          <t>Ottobre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>
        <f>SUM(B128:C128:D128:E128:G128:H128)</f>
        <v/>
      </c>
    </row>
    <row r="129">
      <c r="A129" t="inlineStr">
        <is>
          <t>Novembre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>
        <f>SUM(B129:C129:D129:E129:G129:H129)</f>
        <v/>
      </c>
    </row>
    <row r="130">
      <c r="A130" t="inlineStr">
        <is>
          <t>Dicembre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>
        <f>SUM(B130:C130:D130:E130:G130:H130)</f>
        <v/>
      </c>
    </row>
    <row r="131">
      <c r="A131" s="1" t="inlineStr">
        <is>
          <t>Somme annuali</t>
        </is>
      </c>
      <c r="B131" s="1">
        <f>SUM(B119,B120,B121,B122,B123,B124,B125,B126,B127,B128,B129,B130)</f>
        <v/>
      </c>
      <c r="C131" s="1">
        <f>SUM(C119,C120,C121,C122,C123,C124,C125,C126,C127,C128,C129,C130)</f>
        <v/>
      </c>
      <c r="D131" s="1">
        <f>SUM(D119,D120,D121,D122,D123,D124,D125,D126,D127,D128,D129,D130)</f>
        <v/>
      </c>
      <c r="E131" s="1">
        <f>SUM(E119,E120,E121,E122,E123,E124,E125,E126,E127,E128,E129,E130)</f>
        <v/>
      </c>
      <c r="F131" s="1">
        <f>SUM(F119,F120,F121,F122,F123,F124,F125,F126,F127,F128,F129,F130)</f>
        <v/>
      </c>
      <c r="G131" s="1">
        <f>SUM(G119,G120,G121,G122,G123,G124,G125,G126,G127,G128,G129,G130)</f>
        <v/>
      </c>
      <c r="H131" s="1">
        <f>SUM(H119,H120,H121,H122,H123,H124,H125,H126,H127,H128,H129,H130)</f>
        <v/>
      </c>
      <c r="I131" s="1">
        <f>SUM(I119,I120,I121,I122,I123,I124,I125,I126,I127,I128,I129,I130)</f>
        <v/>
      </c>
    </row>
    <row r="132">
      <c r="A132" s="1" t="inlineStr">
        <is>
          <t>Medie annue</t>
        </is>
      </c>
      <c r="B132" s="1">
        <f>(B131/337*28)</f>
        <v/>
      </c>
      <c r="C132" s="1">
        <f>(C131/337*28)</f>
        <v/>
      </c>
      <c r="D132" s="1">
        <f>(D131/337*28)</f>
        <v/>
      </c>
      <c r="E132" s="1">
        <f>(E131/337*28)</f>
        <v/>
      </c>
      <c r="F132" s="1">
        <f>(F131/337*28)</f>
        <v/>
      </c>
      <c r="G132" s="1">
        <f>(G131/337*28)</f>
        <v/>
      </c>
      <c r="H132" s="1">
        <f>(H131/337*28)</f>
        <v/>
      </c>
      <c r="I132" s="1">
        <f>(I131/337*28)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2026-06-20T15:23:41Z</dcterms:created>
  <dcterms:modified xmlns:dcterms="http://purl.org/dc/terms/" xmlns:xsi="http://www.w3.org/2001/XMLSchema-instance" xsi:type="dcterms:W3CDTF">2026-06-20T15:23:41Z</dcterms:modified>
</cp:coreProperties>
</file>